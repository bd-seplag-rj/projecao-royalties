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RJ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<sst xmlns="http://schemas.openxmlformats.org/spreadsheetml/2006/main" count="58" uniqueCount="54">
  <si>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Participações do Estado do Rio de Janeiro — Royalties + Participação Especial</t>
  </si>
  <si>
    <t xml:space="preserve">Produção no mar (bacias de Campos e Santos) — regra vigente (mantida pela liminar de 2013)</t>
  </si>
  <si>
    <t xml:space="preserve">PREMISSAS DE REPARTIÇÃO (cota do RJ)</t>
  </si>
  <si>
    <t xml:space="preserve">Cota do estado na parcela de 5%</t>
  </si>
  <si>
    <t xml:space="preserve">30% da fatia até 5% (art. 48 → Lei 7.990/89)</t>
  </si>
  <si>
    <t xml:space="preserve">Cota do estado na parcela excedente (&gt;5%)</t>
  </si>
  <si>
    <t xml:space="preserve">22,5% da fatia acima de 5% (art. 49, II)</t>
  </si>
  <si>
    <t xml:space="preserve">Cota do estado na participação especial</t>
  </si>
  <si>
    <t xml:space="preserve">40% da PE (art. 50). Se a Lei 12.734/12 valer, muda.</t>
  </si>
  <si>
    <t xml:space="preserve">1) ROYALTIES  (apuração mensal)</t>
  </si>
  <si>
    <t xml:space="preserve">Volume de produção (bbl/mês)</t>
  </si>
  <si>
    <t xml:space="preserve">Entrada — volume do campo no mês</t>
  </si>
  <si>
    <t xml:space="preserve">Preço de referência (R$/bbl)</t>
  </si>
  <si>
    <t xml:space="preserve">Entrada — preço fixado pela ANP</t>
  </si>
  <si>
    <t xml:space="preserve">Valor da produção (R$)</t>
  </si>
  <si>
    <t xml:space="preserve">volume × preço</t>
  </si>
  <si>
    <t xml:space="preserve">Alíquota de royalty</t>
  </si>
  <si>
    <t xml:space="preserve">10% (concessão); mín. 5%; 15% na partilha do pré-sal</t>
  </si>
  <si>
    <t xml:space="preserve">Royalty total do campo (R$)</t>
  </si>
  <si>
    <t xml:space="preserve">valor da produção × alíquota</t>
  </si>
  <si>
    <t xml:space="preserve">Parcela mínima — 5% da produção (R$)</t>
  </si>
  <si>
    <t xml:space="preserve">distribuída pela Lei 7.990/89</t>
  </si>
  <si>
    <t xml:space="preserve">Parcela excedente — acima de 5% (R$)</t>
  </si>
  <si>
    <t xml:space="preserve">distribuída pela Lei 9.478/97</t>
  </si>
  <si>
    <t xml:space="preserve">→ RJ na parcela de 5%</t>
  </si>
  <si>
    <t xml:space="preserve">30% × parcela de 5%</t>
  </si>
  <si>
    <t xml:space="preserve">→ RJ na parcela excedente</t>
  </si>
  <si>
    <t xml:space="preserve">22,5% × parcela excedente</t>
  </si>
  <si>
    <t xml:space="preserve">ROYALTIES DO RJ (R$/mês)</t>
  </si>
  <si>
    <t xml:space="preserve">2) PARTICIPAÇÃO ESPECIAL  (apuração trimestral)</t>
  </si>
  <si>
    <t xml:space="preserve">Receita bruta trimestral do campo (R$)</t>
  </si>
  <si>
    <t xml:space="preserve">Entrada — só campos de grande volume/rentabilidade</t>
  </si>
  <si>
    <t xml:space="preserve">(−) Royalties</t>
  </si>
  <si>
    <t xml:space="preserve">Dedução prevista no § 1º do art. 50</t>
  </si>
  <si>
    <t xml:space="preserve">(−) Investimentos na exploração</t>
  </si>
  <si>
    <t xml:space="preserve">(−) Custos operacionais</t>
  </si>
  <si>
    <t xml:space="preserve">(−) Depreciação</t>
  </si>
  <si>
    <t xml:space="preserve">(−) Tributos</t>
  </si>
  <si>
    <t xml:space="preserve">Receita líquida (R$)</t>
  </si>
  <si>
    <t xml:space="preserve">receita bruta − deduções</t>
  </si>
  <si>
    <t xml:space="preserve">Alíquota efetiva de PE</t>
  </si>
  <si>
    <t xml:space="preserve">faixas de 0 / 10 / 20 / 30 / 35 / 40% (Decreto 2.705/98)</t>
  </si>
  <si>
    <t xml:space="preserve">PE do campo (R$)</t>
  </si>
  <si>
    <t xml:space="preserve">receita líquida × alíquota efetiva</t>
  </si>
  <si>
    <t xml:space="preserve">PE DO RJ (R$/trimestre)</t>
  </si>
  <si>
    <t xml:space="preserve">40% × PE do campo</t>
  </si>
  <si>
    <t xml:space="preserve">3) RESUMO — TOTAL DO RJ NO TRIMESTRE</t>
  </si>
  <si>
    <t xml:space="preserve">Royalties do RJ no trimestre (mês × 3)</t>
  </si>
  <si>
    <t xml:space="preserve">royalties são mensais; ×3 p/ comparar com a PE</t>
  </si>
  <si>
    <t xml:space="preserve">PE do RJ no trimestre</t>
  </si>
  <si>
    <t xml:space="preserve">TOTAL RJ NO TRIMESTRE (R$)</t>
  </si>
  <si>
    <t xml:space="preserve">Legenda: células azuis com fundo amarelo = você edita.  Pretas = fórmulas.</t>
  </si>
  <si>
    <t xml:space="preserve">Fontes: Lei 9.478/97 (arts. 47–50), Lei 7.990/89, Decreto 2.705/98, ANP.</t>
  </si>
  <si>
    <t xml:space="preserve">Regras vigentes (liminar STF de 2013). Se a Lei 12.734/12 for validada, ajuste as cotas em C5:C7.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</si>
</sst>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&quot;R$ &quot;#,##0.00"/>
    <numFmt numFmtId="168" formatCode="&quot;R$ &quot;#,##0;&quot;(R$ 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4" customFormat="false" ht="15.75" hidden="false" customHeight="true" outlineLevel="0" collapsed="false">
      <c r="B4" s="3" t="s">
        <v>2</v>
      </c>
      <c r="C4" s="3"/>
      <c r="D4" s="3"/>
    </row>
    <row r="5" customFormat="false" ht="15.75" hidden="false" customHeight="true" outlineLevel="0" collapsed="false">
      <c r="B5" s="4" t="s">
        <v>3</v>
      </c>
      <c r="C5" s="5" t="n">
        <v>0.3</v>
      </c>
      <c r="D5" s="6" t="s">
        <v>4</v>
      </c>
    </row>
    <row r="6" customFormat="false" ht="15.75" hidden="false" customHeight="true" outlineLevel="0" collapsed="false">
      <c r="B6" s="4" t="s">
        <v>5</v>
      </c>
      <c r="C6" s="5" t="n">
        <v>0.225</v>
      </c>
      <c r="D6" s="6" t="s">
        <v>6</v>
      </c>
    </row>
    <row r="7" customFormat="false" ht="15.75" hidden="false" customHeight="true" outlineLevel="0" collapsed="false">
      <c r="B7" s="4" t="s">
        <v>7</v>
      </c>
      <c r="C7" s="5" t="n">
        <v>0.4</v>
      </c>
      <c r="D7" s="6" t="s">
        <v>8</v>
      </c>
    </row>
    <row r="8" customFormat="false" ht="15.75" hidden="false" customHeight="true" outlineLevel="0" collapsed="false"/>
    <row r="9" customFormat="false" ht="15.75" hidden="false" customHeight="true" outlineLevel="0" collapsed="false">
      <c r="B9" s="3" t="s">
        <v>9</v>
      </c>
      <c r="C9" s="3"/>
      <c r="D9" s="3"/>
    </row>
    <row r="10" customFormat="false" ht="15.75" hidden="false" customHeight="true" outlineLevel="0" collapsed="false">
      <c r="B10" s="4" t="s">
        <v>10</v>
      </c>
      <c r="C10" s="7" t="n">
        <v>1000000</v>
      </c>
      <c r="D10" s="6" t="s">
        <v>11</v>
      </c>
    </row>
    <row r="11" customFormat="false" ht="15.75" hidden="false" customHeight="true" outlineLevel="0" collapsed="false">
      <c r="B11" s="4" t="s">
        <v>12</v>
      </c>
      <c r="C11" s="8" t="n">
        <v>300</v>
      </c>
      <c r="D11" s="6" t="s">
        <v>13</v>
      </c>
    </row>
    <row r="12" customFormat="false" ht="15.75" hidden="false" customHeight="true" outlineLevel="0" collapsed="false">
      <c r="B12" s="9" t="s">
        <v>14</v>
      </c>
      <c r="C12" s="10" t="n">
        <f aca="false">C10*C11</f>
        <v>300000000</v>
      </c>
      <c r="D12" s="6" t="s">
        <v>15</v>
      </c>
    </row>
    <row r="13" customFormat="false" ht="15.75" hidden="false" customHeight="true" outlineLevel="0" collapsed="false">
      <c r="B13" s="4" t="s">
        <v>16</v>
      </c>
      <c r="C13" s="5" t="n">
        <v>0.1</v>
      </c>
      <c r="D13" s="6" t="s">
        <v>17</v>
      </c>
    </row>
    <row r="14" customFormat="false" ht="15.75" hidden="false" customHeight="true" outlineLevel="0" collapsed="false">
      <c r="B14" s="9" t="s">
        <v>18</v>
      </c>
      <c r="C14" s="10" t="n">
        <f aca="false">C12*C13</f>
        <v>30000000</v>
      </c>
      <c r="D14" s="6" t="s">
        <v>19</v>
      </c>
    </row>
    <row r="15" customFormat="false" ht="15.75" hidden="false" customHeight="true" outlineLevel="0" collapsed="false">
      <c r="B15" s="4" t="s">
        <v>20</v>
      </c>
      <c r="C15" s="11" t="n">
        <f aca="false">0.05*C12</f>
        <v>15000000</v>
      </c>
      <c r="D15" s="6" t="s">
        <v>21</v>
      </c>
    </row>
    <row r="16" customFormat="false" ht="15.75" hidden="false" customHeight="true" outlineLevel="0" collapsed="false">
      <c r="B16" s="4" t="s">
        <v>22</v>
      </c>
      <c r="C16" s="11" t="n">
        <f aca="false">MAX(C13-0.05,0)*C12</f>
        <v>15000000</v>
      </c>
      <c r="D16" s="6" t="s">
        <v>23</v>
      </c>
    </row>
    <row r="17" customFormat="false" ht="15.75" hidden="false" customHeight="true" outlineLevel="0" collapsed="false">
      <c r="B17" s="4" t="s">
        <v>24</v>
      </c>
      <c r="C17" s="11" t="n">
        <f aca="false">C15*C5</f>
        <v>4500000</v>
      </c>
      <c r="D17" s="6" t="s">
        <v>25</v>
      </c>
    </row>
    <row r="18" customFormat="false" ht="15.75" hidden="false" customHeight="true" outlineLevel="0" collapsed="false">
      <c r="B18" s="4" t="s">
        <v>26</v>
      </c>
      <c r="C18" s="11" t="n">
        <f aca="false">C16*C6</f>
        <v>3375000</v>
      </c>
      <c r="D18" s="6" t="s">
        <v>27</v>
      </c>
    </row>
    <row r="19" customFormat="false" ht="15.75" hidden="false" customHeight="true" outlineLevel="0" collapsed="false">
      <c r="B19" s="12" t="s">
        <v>28</v>
      </c>
      <c r="C19" s="13" t="n">
        <f aca="false">C17+C18</f>
        <v>7875000</v>
      </c>
    </row>
    <row r="20" customFormat="false" ht="15.75" hidden="false" customHeight="true" outlineLevel="0" collapsed="false"/>
    <row r="21" customFormat="false" ht="15.75" hidden="false" customHeight="true" outlineLevel="0" collapsed="false">
      <c r="B21" s="3" t="s">
        <v>29</v>
      </c>
      <c r="C21" s="3"/>
      <c r="D21" s="3"/>
    </row>
    <row r="22" customFormat="false" ht="15.75" hidden="false" customHeight="true" outlineLevel="0" collapsed="false">
      <c r="B22" s="4" t="s">
        <v>30</v>
      </c>
      <c r="C22" s="14" t="n">
        <v>3000000000</v>
      </c>
      <c r="D22" s="6" t="s">
        <v>31</v>
      </c>
    </row>
    <row r="23" customFormat="false" ht="15.75" hidden="false" customHeight="true" outlineLevel="0" collapsed="false">
      <c r="B23" s="4" t="s">
        <v>32</v>
      </c>
      <c r="C23" s="14" t="n">
        <v>300000000</v>
      </c>
      <c r="D23" s="6" t="s">
        <v>33</v>
      </c>
    </row>
    <row r="24" customFormat="false" ht="15.75" hidden="false" customHeight="true" outlineLevel="0" collapsed="false">
      <c r="B24" s="4" t="s">
        <v>34</v>
      </c>
      <c r="C24" s="14" t="n">
        <v>200000000</v>
      </c>
      <c r="D24" s="6" t="s">
        <v>33</v>
      </c>
    </row>
    <row r="25" customFormat="false" ht="15.75" hidden="false" customHeight="true" outlineLevel="0" collapsed="false">
      <c r="B25" s="4" t="s">
        <v>35</v>
      </c>
      <c r="C25" s="14" t="n">
        <v>400000000</v>
      </c>
      <c r="D25" s="6" t="s">
        <v>33</v>
      </c>
    </row>
    <row r="26" customFormat="false" ht="15.75" hidden="false" customHeight="true" outlineLevel="0" collapsed="false">
      <c r="B26" s="4" t="s">
        <v>36</v>
      </c>
      <c r="C26" s="14" t="n">
        <v>300000000</v>
      </c>
      <c r="D26" s="6" t="s">
        <v>33</v>
      </c>
    </row>
    <row r="27" customFormat="false" ht="15.75" hidden="false" customHeight="true" outlineLevel="0" collapsed="false">
      <c r="B27" s="4" t="s">
        <v>37</v>
      </c>
      <c r="C27" s="14" t="n">
        <v>300000000</v>
      </c>
      <c r="D27" s="6" t="s">
        <v>33</v>
      </c>
    </row>
    <row r="28" customFormat="false" ht="15.75" hidden="false" customHeight="true" outlineLevel="0" collapsed="false">
      <c r="B28" s="9" t="s">
        <v>38</v>
      </c>
      <c r="C28" s="10" t="n">
        <f aca="false">C22-SUM(C23:C27)</f>
        <v>1500000000</v>
      </c>
      <c r="D28" s="6" t="s">
        <v>39</v>
      </c>
    </row>
    <row r="29" customFormat="false" ht="15.75" hidden="false" customHeight="true" outlineLevel="0" collapsed="false">
      <c r="B29" s="4" t="s">
        <v>40</v>
      </c>
      <c r="C29" s="5" t="n">
        <v>0.4</v>
      </c>
      <c r="D29" s="6" t="s">
        <v>41</v>
      </c>
    </row>
    <row r="30" customFormat="false" ht="15.75" hidden="false" customHeight="true" outlineLevel="0" collapsed="false">
      <c r="B30" s="9" t="s">
        <v>42</v>
      </c>
      <c r="C30" s="10" t="n">
        <f aca="false">C28*C29</f>
        <v>600000000</v>
      </c>
      <c r="D30" s="6" t="s">
        <v>43</v>
      </c>
    </row>
    <row r="31" customFormat="false" ht="15.75" hidden="false" customHeight="true" outlineLevel="0" collapsed="false">
      <c r="B31" s="12" t="s">
        <v>44</v>
      </c>
      <c r="C31" s="13" t="n">
        <f aca="false">C30*C7</f>
        <v>240000000</v>
      </c>
      <c r="D31" s="6" t="s">
        <v>45</v>
      </c>
    </row>
    <row r="32" customFormat="false" ht="15.75" hidden="false" customHeight="true" outlineLevel="0" collapsed="false"/>
    <row r="33" customFormat="false" ht="15.75" hidden="false" customHeight="true" outlineLevel="0" collapsed="false">
      <c r="B33" s="3" t="s">
        <v>46</v>
      </c>
      <c r="C33" s="3"/>
      <c r="D33" s="3"/>
    </row>
    <row r="34" customFormat="false" ht="15.75" hidden="false" customHeight="true" outlineLevel="0" collapsed="false">
      <c r="B34" s="4" t="s">
        <v>47</v>
      </c>
      <c r="C34" s="11" t="n">
        <f aca="false">C19*3</f>
        <v>23625000</v>
      </c>
      <c r="D34" s="6" t="s">
        <v>48</v>
      </c>
    </row>
    <row r="35" customFormat="false" ht="15.75" hidden="false" customHeight="true" outlineLevel="0" collapsed="false">
      <c r="B35" s="4" t="s">
        <v>49</v>
      </c>
      <c r="C35" s="11" t="n">
        <f aca="false">C31</f>
        <v>240000000</v>
      </c>
    </row>
    <row r="36" customFormat="false" ht="15.75" hidden="false" customHeight="true" outlineLevel="0" collapsed="false">
      <c r="B36" s="12" t="s">
        <v>50</v>
      </c>
      <c r="C36" s="13" t="n">
        <f aca="false">C34+C35</f>
        <v>263625000</v>
      </c>
    </row>
    <row r="37" customFormat="false" ht="15.75" hidden="false" customHeight="true" outlineLevel="0" collapsed="false"/>
    <row r="38" customFormat="false" ht="15.75" hidden="false" customHeight="true" outlineLevel="0" collapsed="false">
      <c r="B38" s="2" t="s">
        <v>51</v>
      </c>
      <c r="C38" s="2"/>
      <c r="D38" s="2"/>
    </row>
    <row r="39" customFormat="false" ht="15.75" hidden="false" customHeight="true" outlineLevel="0" collapsed="false">
      <c r="B39" s="2" t="s">
        <v>52</v>
      </c>
      <c r="C39" s="2"/>
      <c r="D39" s="2"/>
    </row>
    <row r="40" customFormat="false" ht="15.75" hidden="false" customHeight="true" outlineLevel="0" collapsed="false">
      <c r="B40" s="2" t="s">
        <v>53</v>
      </c>
      <c r="C40" s="2"/>
      <c r="D40" s="2"/>
    </row>
  </sheetData>
  <mergeCells count="9">
    <mergeCell ref="B1:D1"/>
    <mergeCell ref="B2:D2"/>
    <mergeCell ref="B4:D4"/>
    <mergeCell ref="B9:D9"/>
    <mergeCell ref="B21:D21"/>
    <mergeCell ref="B33:D33"/>
    <mergeCell ref="B38:D38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2026-07-09T15:43:59Z</dcterms:created>
  <dc:creator>openpyxl</dc:creator>
  <dc:description/>
  <dc:language>en-US</dc:language>
  <cp:lastModifiedBy/>
  <dcterms:modified xsi:type="dcterms:W3CDTF">2026-07-09T15:43:59Z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